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er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5">
    <font>
      <name val="Calibri"/>
      <family val="2"/>
      <color theme="1"/>
      <sz val="11"/>
      <scheme val="minor"/>
    </font>
    <font>
      <name val="Calibri"/>
      <b val="1"/>
      <color rgb="00E8780F"/>
      <sz val="16"/>
    </font>
    <font>
      <name val="Calibri"/>
      <b val="1"/>
    </font>
    <font>
      <name val="Calibri"/>
      <b val="1"/>
      <color rgb="00FFFFFF"/>
    </font>
    <font>
      <name val="Calibri"/>
      <i val="1"/>
      <color rgb="00777777"/>
      <sz val="9"/>
    </font>
    <font>
      <name val="Calibri"/>
      <sz val="11"/>
    </font>
    <font>
      <name val="Calibri"/>
      <b val="1"/>
      <sz val="12"/>
    </font>
    <font>
      <name val="Calibri"/>
      <b val="1"/>
      <color rgb="00E8780F"/>
      <sz val="12"/>
    </font>
    <font>
      <name val="Calibri"/>
      <b val="1"/>
      <color rgb="001A1F27"/>
    </font>
    <font>
      <name val="Calibri"/>
      <color rgb="00444444"/>
      <sz val="10"/>
    </font>
    <font>
      <name val="Calibri"/>
      <sz val="10"/>
    </font>
    <font>
      <name val="Calibri"/>
      <i val="1"/>
      <color rgb="00777777"/>
      <sz val="10"/>
    </font>
    <font>
      <name val="Calibri"/>
      <b val="1"/>
      <color rgb="00E8780F"/>
      <sz val="13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8780F"/>
      </patternFill>
    </fill>
    <fill>
      <patternFill patternType="solid">
        <fgColor rgb="001A1F27"/>
      </patternFill>
    </fill>
    <fill>
      <patternFill patternType="solid">
        <fgColor rgb="00FDEBD6"/>
      </patternFill>
    </fill>
  </fills>
  <borders count="2">
    <border>
      <left/>
      <right/>
      <top/>
      <bottom/>
      <diagonal/>
    </border>
    <border>
      <left style="thin">
        <color rgb="00D6DAE0"/>
      </left>
      <right style="thin">
        <color rgb="00D6DAE0"/>
      </right>
      <top style="thin">
        <color rgb="00D6DAE0"/>
      </top>
      <bottom style="thin">
        <color rgb="00D6DA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164" fontId="7" fillId="4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9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AM Verdienst-Rechner</t>
        </is>
      </c>
    </row>
    <row r="2">
      <c r="A2" s="2" t="inlineStr">
        <is>
          <t>Modus:</t>
        </is>
      </c>
      <c r="B2" s="3" t="inlineStr">
        <is>
          <t>Normal</t>
        </is>
      </c>
      <c r="C2" s="4" t="inlineStr">
        <is>
          <t>&lt;- Normal oder Ramping wählen (Zelle B2)</t>
        </is>
      </c>
    </row>
    <row r="4">
      <c r="A4" s="5" t="inlineStr">
        <is>
          <t>Kennzahl</t>
        </is>
      </c>
      <c r="B4" s="6" t="inlineStr">
        <is>
          <t>Testing</t>
        </is>
      </c>
      <c r="C4" s="6" t="inlineStr">
        <is>
          <t>V1</t>
        </is>
      </c>
      <c r="D4" s="6" t="inlineStr">
        <is>
          <t>V2</t>
        </is>
      </c>
      <c r="E4" s="6" t="inlineStr">
        <is>
          <t>V3</t>
        </is>
      </c>
    </row>
    <row r="5">
      <c r="A5" s="7" t="inlineStr">
        <is>
          <t>Aktive Kunden Accelerator</t>
        </is>
      </c>
      <c r="B5" s="8" t="n">
        <v>30</v>
      </c>
      <c r="C5" s="9" t="n">
        <v>36</v>
      </c>
      <c r="D5" s="9" t="n">
        <v>20</v>
      </c>
      <c r="E5" s="9" t="n">
        <v>10</v>
      </c>
    </row>
    <row r="6">
      <c r="A6" s="7" t="inlineStr">
        <is>
          <t>Aktive Kunden Legacy (Frontend)</t>
        </is>
      </c>
      <c r="B6" s="8" t="n">
        <v>0</v>
      </c>
      <c r="C6" s="9" t="n">
        <v>0</v>
      </c>
      <c r="D6" s="9" t="n">
        <v>1</v>
      </c>
      <c r="E6" s="9" t="n">
        <v>0</v>
      </c>
    </row>
    <row r="7">
      <c r="A7" s="7" t="inlineStr">
        <is>
          <t>Aktive Kunden Elevate</t>
        </is>
      </c>
      <c r="B7" s="8" t="n">
        <v>5</v>
      </c>
      <c r="C7" s="9" t="n">
        <v>0</v>
      </c>
      <c r="D7" s="9" t="n">
        <v>10</v>
      </c>
      <c r="E7" s="9" t="n">
        <v>10</v>
      </c>
    </row>
    <row r="8">
      <c r="A8" s="7" t="inlineStr">
        <is>
          <t>Aktive Kunden Scaling</t>
        </is>
      </c>
      <c r="B8" s="8" t="n">
        <v>5</v>
      </c>
      <c r="C8" s="9" t="n">
        <v>0</v>
      </c>
      <c r="D8" s="9" t="n">
        <v>10</v>
      </c>
      <c r="E8" s="9" t="n">
        <v>15</v>
      </c>
    </row>
    <row r="9">
      <c r="A9" s="7" t="inlineStr">
        <is>
          <t>Aktive Kunden Masterclass</t>
        </is>
      </c>
      <c r="B9" s="8" t="n">
        <v>0</v>
      </c>
      <c r="C9" s="9" t="n">
        <v>0</v>
      </c>
      <c r="D9" s="9" t="n">
        <v>2</v>
      </c>
      <c r="E9" s="9" t="n">
        <v>4</v>
      </c>
    </row>
    <row r="10">
      <c r="A10" s="7" t="inlineStr">
        <is>
          <t>Aktive Kunden Legacy (Backend)</t>
        </is>
      </c>
      <c r="B10" s="8" t="n">
        <v>0</v>
      </c>
      <c r="C10" s="9" t="n">
        <v>0</v>
      </c>
      <c r="D10" s="9" t="n">
        <v>0</v>
      </c>
      <c r="E10" s="9" t="n">
        <v>1</v>
      </c>
    </row>
    <row r="11">
      <c r="A11" s="7" t="inlineStr">
        <is>
          <t>5-Sterne-Bewertung</t>
        </is>
      </c>
      <c r="B11" s="8" t="n">
        <v>1</v>
      </c>
      <c r="C11" s="9" t="n">
        <v>4</v>
      </c>
      <c r="D11" s="9" t="n">
        <v>2</v>
      </c>
      <c r="E11" s="9" t="n">
        <v>3</v>
      </c>
    </row>
    <row r="12">
      <c r="A12" s="7" t="inlineStr">
        <is>
          <t>Testimonial eingeholt (inkl. Bewertung)</t>
        </is>
      </c>
      <c r="B12" s="8" t="n">
        <v>0</v>
      </c>
      <c r="C12" s="9" t="n">
        <v>0</v>
      </c>
      <c r="D12" s="9" t="n">
        <v>1</v>
      </c>
      <c r="E12" s="9" t="n">
        <v>1</v>
      </c>
    </row>
    <row r="13">
      <c r="A13" s="7" t="inlineStr">
        <is>
          <t>Empfehlungskunde (selbst geclosed)</t>
        </is>
      </c>
      <c r="B13" s="8" t="n">
        <v>0</v>
      </c>
      <c r="C13" s="9" t="n">
        <v>0</v>
      </c>
      <c r="D13" s="9" t="n">
        <v>0</v>
      </c>
      <c r="E13" s="9" t="n">
        <v>1</v>
      </c>
    </row>
    <row r="14">
      <c r="A14" s="7" t="inlineStr">
        <is>
          <t>Cross-Sell D4Y Bewerber-Management</t>
        </is>
      </c>
      <c r="B14" s="8" t="n">
        <v>0</v>
      </c>
      <c r="C14" s="9" t="n">
        <v>1</v>
      </c>
      <c r="D14" s="9" t="n">
        <v>1</v>
      </c>
      <c r="E14" s="9" t="n">
        <v>1</v>
      </c>
    </row>
    <row r="15">
      <c r="A15" s="7" t="inlineStr">
        <is>
          <t>Cross-Sell Funnel-Aufsetzung</t>
        </is>
      </c>
      <c r="B15" s="8" t="n">
        <v>0</v>
      </c>
      <c r="C15" s="9" t="n">
        <v>0</v>
      </c>
      <c r="D15" s="9" t="n">
        <v>1</v>
      </c>
      <c r="E15" s="9" t="n">
        <v>1</v>
      </c>
    </row>
    <row r="16">
      <c r="A16" s="7" t="inlineStr">
        <is>
          <t>Event-Ticket verkauft</t>
        </is>
      </c>
      <c r="B16" s="8" t="n">
        <v>0</v>
      </c>
      <c r="C16" s="9" t="n">
        <v>0</v>
      </c>
      <c r="D16" s="9" t="n">
        <v>2</v>
      </c>
      <c r="E16" s="9" t="n">
        <v>2</v>
      </c>
    </row>
    <row r="17">
      <c r="A17" s="7" t="inlineStr">
        <is>
          <t>Inaktiver Kunde reaktiviert (nur Ramping)</t>
        </is>
      </c>
      <c r="B17" s="8" t="n">
        <v>0</v>
      </c>
      <c r="C17" s="9" t="n">
        <v>0</v>
      </c>
      <c r="D17" s="9" t="n">
        <v>0</v>
      </c>
      <c r="E17" s="9" t="n">
        <v>0</v>
      </c>
    </row>
    <row r="18">
      <c r="A18" s="2" t="inlineStr">
        <is>
          <t>Gesamt aktive Kunden</t>
        </is>
      </c>
      <c r="B18" s="10">
        <f>SUM(B5:B10)</f>
        <v/>
      </c>
      <c r="C18" s="10">
        <f>SUM(C5:C10)</f>
        <v/>
      </c>
      <c r="D18" s="10">
        <f>SUM(D5:D10)</f>
        <v/>
      </c>
      <c r="E18" s="10">
        <f>SUM(E5:E10)</f>
        <v/>
      </c>
    </row>
    <row r="19">
      <c r="A19" s="11" t="inlineStr">
        <is>
          <t>Verdienst / Monat</t>
        </is>
      </c>
      <c r="B19" s="12">
        <f>B5*($B$23*$B$28)+B6*($B$27*$B$28)+B7*($B$24*$B$29)+B8*($B$26*$B$29)+B9*($B$25*$B$29)+B10*($B$27*$B$29)+B11*$B$31+B12*$B$44+B13*($B$43+$B$35)+B14*($B$33*$B$30)+B15*($B$34*$B$30)+B16*($B$32*$B$30)+B17*$B$46+$B$45</f>
        <v/>
      </c>
      <c r="C19" s="12">
        <f>C5*($B$23*$B$28)+C6*($B$27*$B$28)+C7*($B$24*$B$29)+C8*($B$26*$B$29)+C9*($B$25*$B$29)+C10*($B$27*$B$29)+C11*$B$31+C12*$B$44+C13*($B$43+$B$35)+C14*($B$33*$B$30)+C15*($B$34*$B$30)+C16*($B$32*$B$30)+C17*$B$46+$B$45</f>
        <v/>
      </c>
      <c r="D19" s="12">
        <f>D5*($B$23*$B$28)+D6*($B$27*$B$28)+D7*($B$24*$B$29)+D8*($B$26*$B$29)+D9*($B$25*$B$29)+D10*($B$27*$B$29)+D11*$B$31+D12*$B$44+D13*($B$43+$B$35)+D14*($B$33*$B$30)+D15*($B$34*$B$30)+D16*($B$32*$B$30)+D17*$B$46+$B$45</f>
        <v/>
      </c>
      <c r="E19" s="12">
        <f>E5*($B$23*$B$28)+E6*($B$27*$B$28)+E7*($B$24*$B$29)+E8*($B$26*$B$29)+E9*($B$25*$B$29)+E10*($B$27*$B$29)+E11*$B$31+E12*$B$44+E13*($B$43+$B$35)+E14*($B$33*$B$30)+E15*($B$34*$B$30)+E16*($B$32*$B$30)+E17*$B$46+$B$45</f>
        <v/>
      </c>
    </row>
    <row r="22">
      <c r="A22" s="13" t="inlineStr">
        <is>
          <t>DATENGRUNDLAGE (fix)</t>
        </is>
      </c>
    </row>
    <row r="23">
      <c r="A23" s="14" t="inlineStr">
        <is>
          <t>Produktpreis Incubator</t>
        </is>
      </c>
      <c r="B23" s="15" t="n">
        <v>3500</v>
      </c>
    </row>
    <row r="24">
      <c r="A24" s="14" t="inlineStr">
        <is>
          <t>Produktpreis Elevate</t>
        </is>
      </c>
      <c r="B24" s="15" t="n">
        <v>2000</v>
      </c>
    </row>
    <row r="25">
      <c r="A25" s="14" t="inlineStr">
        <is>
          <t>Produktpreis Masterclass</t>
        </is>
      </c>
      <c r="B25" s="15" t="n">
        <v>1000</v>
      </c>
    </row>
    <row r="26">
      <c r="A26" s="14" t="inlineStr">
        <is>
          <t>Produktpreis Scaling</t>
        </is>
      </c>
      <c r="B26" s="15" t="n">
        <v>3500</v>
      </c>
    </row>
    <row r="27">
      <c r="A27" s="14" t="inlineStr">
        <is>
          <t>Produktpreis Legacy</t>
        </is>
      </c>
      <c r="B27" s="15" t="n">
        <v>6000</v>
      </c>
    </row>
    <row r="28">
      <c r="A28" s="14" t="inlineStr">
        <is>
          <t>% Betreuung</t>
        </is>
      </c>
      <c r="B28" s="16" t="n">
        <v>0.04</v>
      </c>
    </row>
    <row r="29">
      <c r="A29" s="14" t="inlineStr">
        <is>
          <t>% Verlängerung</t>
        </is>
      </c>
      <c r="B29" s="16" t="n">
        <v>0.14</v>
      </c>
    </row>
    <row r="30">
      <c r="A30" s="14" t="inlineStr">
        <is>
          <t>% Closing / Cross-Sell</t>
        </is>
      </c>
      <c r="B30" s="16" t="n">
        <v>0.1</v>
      </c>
    </row>
    <row r="31">
      <c r="A31" s="14" t="inlineStr">
        <is>
          <t>5-Sterne-Bewertung</t>
        </is>
      </c>
      <c r="B31" s="15" t="n">
        <v>100</v>
      </c>
    </row>
    <row r="32">
      <c r="A32" s="14" t="inlineStr">
        <is>
          <t>Ticketpreis Event</t>
        </is>
      </c>
      <c r="B32" s="15" t="n">
        <v>1500</v>
      </c>
    </row>
    <row r="33">
      <c r="A33" s="14" t="inlineStr">
        <is>
          <t>D4Y Bewerber-Management</t>
        </is>
      </c>
      <c r="B33" s="15" t="n">
        <v>1000</v>
      </c>
    </row>
    <row r="34">
      <c r="A34" s="14" t="inlineStr">
        <is>
          <t>D4Y Funnel-Aufsetzung</t>
        </is>
      </c>
      <c r="B34" s="15" t="n">
        <v>2000</v>
      </c>
    </row>
    <row r="35">
      <c r="A35" s="14" t="inlineStr">
        <is>
          <t>Selbst-Closen-Bonus (10% v. 10.500€)</t>
        </is>
      </c>
      <c r="B35" s="15" t="n">
        <v>1050</v>
      </c>
    </row>
    <row r="36">
      <c r="A36" s="14" t="inlineStr">
        <is>
          <t>Empfehlung Normal</t>
        </is>
      </c>
      <c r="B36" s="15" t="n">
        <v>1500</v>
      </c>
    </row>
    <row r="37">
      <c r="A37" s="14" t="inlineStr">
        <is>
          <t>Empfehlung Ramping</t>
        </is>
      </c>
      <c r="B37" s="15" t="n">
        <v>4000</v>
      </c>
    </row>
    <row r="38">
      <c r="A38" s="14" t="inlineStr">
        <is>
          <t>Testimonial Normal</t>
        </is>
      </c>
      <c r="B38" s="15" t="n">
        <v>300</v>
      </c>
    </row>
    <row r="39">
      <c r="A39" s="14" t="inlineStr">
        <is>
          <t>Testimonial Ramping</t>
        </is>
      </c>
      <c r="B39" s="15" t="n">
        <v>700</v>
      </c>
    </row>
    <row r="40">
      <c r="A40" s="14" t="inlineStr">
        <is>
          <t>Ramping-Fixum / Monat</t>
        </is>
      </c>
      <c r="B40" s="15" t="n">
        <v>2000</v>
      </c>
    </row>
    <row r="41">
      <c r="A41" s="14" t="inlineStr">
        <is>
          <t>Reaktivierung (28% v. 10.500€)</t>
        </is>
      </c>
      <c r="B41" s="15" t="n">
        <v>2940</v>
      </c>
    </row>
    <row r="43">
      <c r="A43" s="17" t="inlineStr">
        <is>
          <t>Empfehlung effektiv</t>
        </is>
      </c>
      <c r="B43" s="18">
        <f>IF($B$2="Ramping",B37,B36)</f>
        <v/>
      </c>
    </row>
    <row r="44">
      <c r="A44" s="17" t="inlineStr">
        <is>
          <t>Testimonial effektiv</t>
        </is>
      </c>
      <c r="B44" s="18">
        <f>IF($B$2="Ramping",B39,B38)</f>
        <v/>
      </c>
    </row>
    <row r="45">
      <c r="A45" s="17" t="inlineStr">
        <is>
          <t>Fixum effektiv</t>
        </is>
      </c>
      <c r="B45" s="18">
        <f>IF($B$2="Ramping",B40,0)</f>
        <v/>
      </c>
    </row>
    <row r="46">
      <c r="A46" s="17" t="inlineStr">
        <is>
          <t>Reaktivierung effektiv</t>
        </is>
      </c>
      <c r="B46" s="18">
        <f>IF($B$2="Ramping",B41,0)</f>
        <v/>
      </c>
    </row>
  </sheetData>
  <dataValidations count="1">
    <dataValidation sqref="B2" showDropDown="0" showInputMessage="0" showErrorMessage="0" allowBlank="0" type="list">
      <formula1>"Normal,Ramping"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9" t="inlineStr">
        <is>
          <t>AM Verdienst-Rechner — Anleitung</t>
        </is>
      </c>
    </row>
    <row r="2">
      <c r="A2" s="20" t="inlineStr"/>
    </row>
    <row r="3">
      <c r="A3" s="21" t="inlineStr">
        <is>
          <t>So funktioniert es:</t>
        </is>
      </c>
    </row>
    <row r="4">
      <c r="A4" s="20" t="inlineStr">
        <is>
          <t>• Trage in Spalte B (Testing) deine Zahlen ein. V1–V3 sind Beispiel-Szenarien.</t>
        </is>
      </c>
    </row>
    <row r="5">
      <c r="A5" s="20" t="inlineStr">
        <is>
          <t>• Zelle B2 im Blatt 'Rechner' schaltet zwischen 'Normal' und 'Ramping' um.</t>
        </is>
      </c>
    </row>
    <row r="6">
      <c r="A6" s="20" t="inlineStr">
        <is>
          <t>• Der Verdienst (Zeile 19) rechnet sich automatisch aus.</t>
        </is>
      </c>
    </row>
    <row r="7">
      <c r="A7" s="20" t="inlineStr"/>
    </row>
    <row r="8">
      <c r="A8" s="21" t="inlineStr">
        <is>
          <t>Verrechnungsmodelle:</t>
        </is>
      </c>
    </row>
    <row r="9">
      <c r="A9" s="20" t="inlineStr">
        <is>
          <t>• Normal: Empfehlung 1.500€ (+1.050€ Selbst-Closen), Testimonial 300€.</t>
        </is>
      </c>
    </row>
    <row r="10">
      <c r="A10" s="20" t="inlineStr">
        <is>
          <t>• Ramping (Monat 1–3): Empfehlung 4.000€ (+1.050€), Testimonial 700€,</t>
        </is>
      </c>
    </row>
    <row r="11">
      <c r="A11" s="20" t="inlineStr">
        <is>
          <t xml:space="preserve">  +2.000€ Fixum, plus Hebel 'Inaktiver Kunde reaktiviert' (28% v. 10.500€ = 2.940€).</t>
        </is>
      </c>
    </row>
    <row r="12">
      <c r="A12" s="20" t="inlineStr"/>
    </row>
    <row r="13">
      <c r="A13" s="20" t="inlineStr">
        <is>
          <t>Formel: Verdienst = Summe(Anzahl × €-Wert je Hebel) + Fixum (nur Ramping).</t>
        </is>
      </c>
    </row>
    <row r="14">
      <c r="A14" s="20" t="inlineStr">
        <is>
          <t>Alle festen Beträge stehen im Blatt 'Rechner' unter DATENGRUNDLAGE (ab Zeile 22).</t>
        </is>
      </c>
    </row>
    <row r="15">
      <c r="A15" s="20" t="inlineStr"/>
    </row>
    <row r="16">
      <c r="A16" s="21" t="inlineStr">
        <is>
          <t>Interaktive Web-Version (identisches Modell):</t>
        </is>
      </c>
    </row>
    <row r="17">
      <c r="A17" s="20" t="inlineStr">
        <is>
          <t>https://gernotkleindienst.github.io/am-rechner/</t>
        </is>
      </c>
    </row>
    <row r="18">
      <c r="A18" s="20" t="inlineStr">
        <is>
          <t>Quellcode / bearbeitbare Version: index.html im Repo 'am-rechner' (GitHub).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2026-08-29T08:37:45Z</dcterms:created>
  <dcterms:modified xmlns:dcterms="http://purl.org/dc/terms/" xmlns:xsi="http://www.w3.org/2001/XMLSchema-instance" xsi:type="dcterms:W3CDTF">2026-08-29T08:37:45Z</dcterms:modified>
</cp:coreProperties>
</file>